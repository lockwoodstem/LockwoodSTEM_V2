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0d89beb77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3df10723ae414ea7"/>
    <x:sheet xmlns:r="http://schemas.openxmlformats.org/officeDocument/2006/relationships" name="Summary" sheetId="2" r:id="Rb078f964cc70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3">
    <x:font>
      <x:sz val="11"/>
      <x:name val="Carlito"/>
    </x:font>
    <x:font>
      <x:b/>
      <x:sz val="11"/>
      <x:color rgb="FF0B1F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8A24A"/>
      </x:patternFill>
    </x:fill>
    <x:fill>
      <x:patternFill patternType="solid">
        <x:fgColor rgb="FF0B1F3A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85458f0284792" /><Relationship Type="http://schemas.openxmlformats.org/officeDocument/2006/relationships/theme" Target="/xl/theme/theme1.xml" Id="Ra157aa152aa9496c" /><Relationship Type="http://schemas.openxmlformats.org/officeDocument/2006/relationships/sharedStrings" Target="/xl/sharedStrings.xml" Id="R8ffe18c06df3468c" /><Relationship Type="http://schemas.openxmlformats.org/officeDocument/2006/relationships/worksheet" Target="/xl/worksheets/sheet1.xml" Id="R3df10723ae414ea7" /><Relationship Type="http://schemas.openxmlformats.org/officeDocument/2006/relationships/worksheet" Target="/xl/worksheets/sheet2.xml" Id="Rb078f964cc7049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4cba29371a41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Measurement by Trial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Date</c:v>
          </c:tx>
          <c:cat>
            <c:strRef>
              <c:f>'Test Data'!$A$5:$A$24</c:f>
              <c:strCache>
                <c:ptCount val="0"/>
              </c:strCache>
            </c:strRef>
          </c:cat>
          <c:val>
            <c:numRef>
              <c:f>'Test Data'!$B$5:$B$24</c:f>
              <c:numCache>
                <c:formatCode>yyyy-mm-dd</c:formatCode>
                <c:ptCount val="0"/>
              </c:numCache>
            </c:numRef>
          </c:val>
          <c:smooth val="0"/>
        </c:ser>
        <c:ser>
          <c:idx val="1"/>
          <c:order val="1"/>
          <c:tx>
            <c:v>Test Condition</c:v>
          </c:tx>
          <c:cat>
            <c:strRef>
              <c:f>'Test Data'!$A$5:$A$24</c:f>
              <c:strCache>
                <c:ptCount val="0"/>
              </c:strCache>
            </c:strRef>
          </c:cat>
          <c:val>
            <c:numRef>
              <c:f>'Test Data'!$C$5:$C$24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Measurement 1</c:v>
          </c:tx>
          <c:cat>
            <c:strRef>
              <c:f>'Test Data'!$A$5:$A$24</c:f>
              <c:strCache>
                <c:ptCount val="0"/>
              </c:strCache>
            </c:strRef>
          </c:cat>
          <c:val>
            <c:numRef>
              <c:f>'Test Data'!$D$5:$D$24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Measurement 2</c:v>
          </c:tx>
          <c:cat>
            <c:strRef>
              <c:f>'Test Data'!$A$5:$A$24</c:f>
              <c:strCache>
                <c:ptCount val="0"/>
              </c:strCache>
            </c:strRef>
          </c:cat>
          <c:val>
            <c:numRef>
              <c:f>'Test Data'!$E$5:$E$24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Measurement 3</c:v>
          </c:tx>
          <c:cat>
            <c:strRef>
              <c:f>'Test Data'!$A$5:$A$24</c:f>
              <c:strCache>
                <c:ptCount val="0"/>
              </c:strCache>
            </c:strRef>
          </c:cat>
          <c:val>
            <c:numRef>
              <c:f>'Test Data'!$F$5:$F$24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Average</c:v>
          </c:tx>
          <c:cat>
            <c:strRef>
              <c:f>'Test Data'!$A$5:$A$24</c:f>
              <c:strCache>
                <c:ptCount val="0"/>
              </c:strCache>
            </c:strRef>
          </c:cat>
          <c:val>
            <c:numRef>
              <c:f>'Test Data'!$G$5:$G$24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4cba29371a41f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DataTable" displayName="TestDataTable" ref="A4:K24" headerRowCount="1">
  <x:tableColumns count="11">
    <x:tableColumn id="1" name="Trial"/>
    <x:tableColumn id="2" name="Date"/>
    <x:tableColumn id="3" name="Test Condition"/>
    <x:tableColumn id="4" name="Measurement 1"/>
    <x:tableColumn id="5" name="Measurement 2"/>
    <x:tableColumn id="6" name="Measurement 3"/>
    <x:tableColumn id="7" name="Average"/>
    <x:tableColumn id="8" name="Pass/Fail"/>
    <x:tableColumn id="9" name="Observation"/>
    <x:tableColumn id="10" name="Issue Found"/>
    <x:tableColumn id="11" name="Next Rev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8c44aea7c3349f9" /><Relationship Type="http://schemas.openxmlformats.org/officeDocument/2006/relationships/table" Target="/xl/tables/table1.xml" Id="Rbba1ea3de66846b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12" hidden="0" customWidth="1"/>
    <x:col min="9" max="9" width="26" hidden="0" customWidth="1"/>
    <x:col min="10" max="10" width="22" hidden="0" customWidth="1"/>
    <x:col min="11" max="11" width="26" hidden="0" customWidth="1"/>
  </x:cols>
  <x:sheetData>
    <x:row r="1">
      <x:c r="A1" s="4" t="str">
        <x:v>LS-TMP-012 Test Data Sheet</x:v>
      </x:c>
    </x:row>
    <x:row r="2">
      <x:c r="A2" t="str">
        <x:v>Record all trials, including failed tests. Use observations to support redesign decisions.</x:v>
      </x:c>
    </x:row>
    <x:row r="4">
      <x:c r="A4" s="16" t="str">
        <x:v>Trial</x:v>
      </x:c>
      <x:c r="B4" s="16" t="str">
        <x:v>Date</x:v>
      </x:c>
      <x:c r="C4" s="16" t="str">
        <x:v>Test Condition</x:v>
      </x:c>
      <x:c r="D4" s="16" t="str">
        <x:v>Measurement 1</x:v>
      </x:c>
      <x:c r="E4" s="16" t="str">
        <x:v>Measurement 2</x:v>
      </x:c>
      <x:c r="F4" s="16" t="str">
        <x:v>Measurement 3</x:v>
      </x:c>
      <x:c r="G4" s="16" t="str">
        <x:v>Average</x:v>
      </x:c>
      <x:c r="H4" s="16" t="str">
        <x:v>Pass/Fail</x:v>
      </x:c>
      <x:c r="I4" s="16" t="str">
        <x:v>Observation</x:v>
      </x:c>
      <x:c r="J4" s="16" t="str">
        <x:v>Issue Found</x:v>
      </x:c>
      <x:c r="K4" s="16" t="str">
        <x:v>Next Revision</x:v>
      </x:c>
    </x:row>
    <x:row r="5">
      <x:c r="A5" t="n">
        <x:v>1</x:v>
      </x:c>
      <x:c r="B5" s="18"/>
      <x:c r="C5" t="str"/>
      <x:c r="D5" t="str"/>
      <x:c r="E5" t="str"/>
      <x:c r="F5" t="str"/>
      <x:c r="G5" s="20" t="str">
        <x:f>IF(COUNT(D5:F5)=0,"",AVERAGE(D5:F5))</x:f>
      </x:c>
      <x:c r="H5" t="str"/>
      <x:c r="I5" t="str"/>
      <x:c r="J5" t="str"/>
      <x:c r="K5" t="str"/>
    </x:row>
    <x:row r="6">
      <x:c r="A6" t="n">
        <x:v>2</x:v>
      </x:c>
      <x:c r="B6" s="18"/>
      <x:c r="C6" t="str"/>
      <x:c r="D6" t="str"/>
      <x:c r="E6" t="str"/>
      <x:c r="F6" t="str"/>
      <x:c r="G6" s="20" t="str">
        <x:f>IF(COUNT(D6:F6)=0,"",AVERAGE(D6:F6))</x:f>
      </x:c>
      <x:c r="H6" t="str"/>
      <x:c r="I6" t="str"/>
      <x:c r="J6" t="str"/>
      <x:c r="K6" t="str"/>
    </x:row>
    <x:row r="7">
      <x:c r="A7" t="n">
        <x:v>3</x:v>
      </x:c>
      <x:c r="B7" s="18"/>
      <x:c r="C7" t="str"/>
      <x:c r="D7" t="str"/>
      <x:c r="E7" t="str"/>
      <x:c r="F7" t="str"/>
      <x:c r="G7" s="20" t="str">
        <x:f>IF(COUNT(D7:F7)=0,"",AVERAGE(D7:F7))</x:f>
      </x:c>
      <x:c r="H7" t="str"/>
      <x:c r="I7" t="str"/>
      <x:c r="J7" t="str"/>
      <x:c r="K7" t="str"/>
    </x:row>
    <x:row r="8">
      <x:c r="A8" t="n">
        <x:v>4</x:v>
      </x:c>
      <x:c r="B8" s="18"/>
      <x:c r="C8" t="str"/>
      <x:c r="D8" t="str"/>
      <x:c r="E8" t="str"/>
      <x:c r="F8" t="str"/>
      <x:c r="G8" s="20" t="str">
        <x:f>IF(COUNT(D8:F8)=0,"",AVERAGE(D8:F8))</x:f>
      </x:c>
      <x:c r="H8" t="str"/>
      <x:c r="I8" t="str"/>
      <x:c r="J8" t="str"/>
      <x:c r="K8" t="str"/>
    </x:row>
    <x:row r="9">
      <x:c r="A9" t="n">
        <x:v>5</x:v>
      </x:c>
      <x:c r="B9" s="18"/>
      <x:c r="C9" t="str"/>
      <x:c r="D9" t="str"/>
      <x:c r="E9" t="str"/>
      <x:c r="F9" t="str"/>
      <x:c r="G9" s="20" t="str">
        <x:f>IF(COUNT(D9:F9)=0,"",AVERAGE(D9:F9))</x:f>
      </x:c>
      <x:c r="H9" t="str"/>
      <x:c r="I9" t="str"/>
      <x:c r="J9" t="str"/>
      <x:c r="K9" t="str"/>
    </x:row>
    <x:row r="10">
      <x:c r="A10" t="n">
        <x:v>6</x:v>
      </x:c>
      <x:c r="B10" s="18"/>
      <x:c r="C10" t="str"/>
      <x:c r="D10" t="str"/>
      <x:c r="E10" t="str"/>
      <x:c r="F10" t="str"/>
      <x:c r="G10" s="20" t="str">
        <x:f>IF(COUNT(D10:F10)=0,"",AVERAGE(D10:F10))</x:f>
      </x:c>
      <x:c r="H10" t="str"/>
      <x:c r="I10" t="str"/>
      <x:c r="J10" t="str"/>
      <x:c r="K10" t="str"/>
    </x:row>
    <x:row r="11">
      <x:c r="A11" t="n">
        <x:v>7</x:v>
      </x:c>
      <x:c r="B11" s="18"/>
      <x:c r="C11" t="str"/>
      <x:c r="D11" t="str"/>
      <x:c r="E11" t="str"/>
      <x:c r="F11" t="str"/>
      <x:c r="G11" s="20" t="str">
        <x:f>IF(COUNT(D11:F11)=0,"",AVERAGE(D11:F11))</x:f>
      </x:c>
      <x:c r="H11" t="str"/>
      <x:c r="I11" t="str"/>
      <x:c r="J11" t="str"/>
      <x:c r="K11" t="str"/>
    </x:row>
    <x:row r="12">
      <x:c r="A12" t="n">
        <x:v>8</x:v>
      </x:c>
      <x:c r="B12" s="18"/>
      <x:c r="C12" t="str"/>
      <x:c r="D12" t="str"/>
      <x:c r="E12" t="str"/>
      <x:c r="F12" t="str"/>
      <x:c r="G12" s="20" t="str">
        <x:f>IF(COUNT(D12:F12)=0,"",AVERAGE(D12:F12))</x:f>
      </x:c>
      <x:c r="H12" t="str"/>
      <x:c r="I12" t="str"/>
      <x:c r="J12" t="str"/>
      <x:c r="K12" t="str"/>
    </x:row>
    <x:row r="13">
      <x:c r="A13" t="n">
        <x:v>9</x:v>
      </x:c>
      <x:c r="B13" s="18"/>
      <x:c r="C13" t="str"/>
      <x:c r="D13" t="str"/>
      <x:c r="E13" t="str"/>
      <x:c r="F13" t="str"/>
      <x:c r="G13" s="20" t="str">
        <x:f>IF(COUNT(D13:F13)=0,"",AVERAGE(D13:F13))</x:f>
      </x:c>
      <x:c r="H13" t="str"/>
      <x:c r="I13" t="str"/>
      <x:c r="J13" t="str"/>
      <x:c r="K13" t="str"/>
    </x:row>
    <x:row r="14">
      <x:c r="A14" t="n">
        <x:v>10</x:v>
      </x:c>
      <x:c r="B14" s="18"/>
      <x:c r="C14" t="str"/>
      <x:c r="D14" t="str"/>
      <x:c r="E14" t="str"/>
      <x:c r="F14" t="str"/>
      <x:c r="G14" s="20" t="str">
        <x:f>IF(COUNT(D14:F14)=0,"",AVERAGE(D14:F14))</x:f>
      </x:c>
      <x:c r="H14" t="str"/>
      <x:c r="I14" t="str"/>
      <x:c r="J14" t="str"/>
      <x:c r="K14" t="str"/>
    </x:row>
    <x:row r="15">
      <x:c r="A15" t="n">
        <x:v>11</x:v>
      </x:c>
      <x:c r="B15" s="18"/>
      <x:c r="C15" t="str"/>
      <x:c r="D15" t="str"/>
      <x:c r="E15" t="str"/>
      <x:c r="F15" t="str"/>
      <x:c r="G15" s="20" t="str">
        <x:f>IF(COUNT(D15:F15)=0,"",AVERAGE(D15:F15))</x:f>
      </x:c>
      <x:c r="H15" t="str"/>
      <x:c r="I15" t="str"/>
      <x:c r="J15" t="str"/>
      <x:c r="K15" t="str"/>
    </x:row>
    <x:row r="16">
      <x:c r="A16" t="n">
        <x:v>12</x:v>
      </x:c>
      <x:c r="B16" s="18"/>
      <x:c r="C16" t="str"/>
      <x:c r="D16" t="str"/>
      <x:c r="E16" t="str"/>
      <x:c r="F16" t="str"/>
      <x:c r="G16" s="20" t="str">
        <x:f>IF(COUNT(D16:F16)=0,"",AVERAGE(D16:F16))</x:f>
      </x:c>
      <x:c r="H16" t="str"/>
      <x:c r="I16" t="str"/>
      <x:c r="J16" t="str"/>
      <x:c r="K16" t="str"/>
    </x:row>
    <x:row r="17">
      <x:c r="A17" t="n">
        <x:v>13</x:v>
      </x:c>
      <x:c r="B17" s="18"/>
      <x:c r="C17" t="str"/>
      <x:c r="D17" t="str"/>
      <x:c r="E17" t="str"/>
      <x:c r="F17" t="str"/>
      <x:c r="G17" s="20" t="str">
        <x:f>IF(COUNT(D17:F17)=0,"",AVERAGE(D17:F17))</x:f>
      </x:c>
      <x:c r="H17" t="str"/>
      <x:c r="I17" t="str"/>
      <x:c r="J17" t="str"/>
      <x:c r="K17" t="str"/>
    </x:row>
    <x:row r="18">
      <x:c r="A18" t="n">
        <x:v>14</x:v>
      </x:c>
      <x:c r="B18" s="18"/>
      <x:c r="C18" t="str"/>
      <x:c r="D18" t="str"/>
      <x:c r="E18" t="str"/>
      <x:c r="F18" t="str"/>
      <x:c r="G18" s="20" t="str">
        <x:f>IF(COUNT(D18:F18)=0,"",AVERAGE(D18:F18))</x:f>
      </x:c>
      <x:c r="H18" t="str"/>
      <x:c r="I18" t="str"/>
      <x:c r="J18" t="str"/>
      <x:c r="K18" t="str"/>
    </x:row>
    <x:row r="19">
      <x:c r="A19" t="n">
        <x:v>15</x:v>
      </x:c>
      <x:c r="B19" s="18"/>
      <x:c r="C19" t="str"/>
      <x:c r="D19" t="str"/>
      <x:c r="E19" t="str"/>
      <x:c r="F19" t="str"/>
      <x:c r="G19" s="20" t="str">
        <x:f>IF(COUNT(D19:F19)=0,"",AVERAGE(D19:F19))</x:f>
      </x:c>
      <x:c r="H19" t="str"/>
      <x:c r="I19" t="str"/>
      <x:c r="J19" t="str"/>
      <x:c r="K19" t="str"/>
    </x:row>
    <x:row r="20">
      <x:c r="A20" t="n">
        <x:v>16</x:v>
      </x:c>
      <x:c r="B20" s="18"/>
      <x:c r="C20" t="str"/>
      <x:c r="D20" t="str"/>
      <x:c r="E20" t="str"/>
      <x:c r="F20" t="str"/>
      <x:c r="G20" s="20" t="str">
        <x:f>IF(COUNT(D20:F20)=0,"",AVERAGE(D20:F20))</x:f>
      </x:c>
      <x:c r="H20" t="str"/>
      <x:c r="I20" t="str"/>
      <x:c r="J20" t="str"/>
      <x:c r="K20" t="str"/>
    </x:row>
    <x:row r="21">
      <x:c r="A21" t="n">
        <x:v>17</x:v>
      </x:c>
      <x:c r="B21" s="18"/>
      <x:c r="C21" t="str"/>
      <x:c r="D21" t="str"/>
      <x:c r="E21" t="str"/>
      <x:c r="F21" t="str"/>
      <x:c r="G21" s="20" t="str">
        <x:f>IF(COUNT(D21:F21)=0,"",AVERAGE(D21:F21))</x:f>
      </x:c>
      <x:c r="H21" t="str"/>
      <x:c r="I21" t="str"/>
      <x:c r="J21" t="str"/>
      <x:c r="K21" t="str"/>
    </x:row>
    <x:row r="22">
      <x:c r="A22" t="n">
        <x:v>18</x:v>
      </x:c>
      <x:c r="B22" s="18"/>
      <x:c r="C22" t="str"/>
      <x:c r="D22" t="str"/>
      <x:c r="E22" t="str"/>
      <x:c r="F22" t="str"/>
      <x:c r="G22" s="20" t="str">
        <x:f>IF(COUNT(D22:F22)=0,"",AVERAGE(D22:F22))</x:f>
      </x:c>
      <x:c r="H22" t="str"/>
      <x:c r="I22" t="str"/>
      <x:c r="J22" t="str"/>
      <x:c r="K22" t="str"/>
    </x:row>
    <x:row r="23">
      <x:c r="A23" t="n">
        <x:v>19</x:v>
      </x:c>
      <x:c r="B23" s="18"/>
      <x:c r="C23" t="str"/>
      <x:c r="D23" t="str"/>
      <x:c r="E23" t="str"/>
      <x:c r="F23" t="str"/>
      <x:c r="G23" s="20" t="str">
        <x:f>IF(COUNT(D23:F23)=0,"",AVERAGE(D23:F23))</x:f>
      </x:c>
      <x:c r="H23" t="str"/>
      <x:c r="I23" t="str"/>
      <x:c r="J23" t="str"/>
      <x:c r="K23" t="str"/>
    </x:row>
    <x:row r="24">
      <x:c r="A24" t="n">
        <x:v>20</x:v>
      </x:c>
      <x:c r="B24" s="18"/>
      <x:c r="C24" t="str"/>
      <x:c r="D24" t="str"/>
      <x:c r="E24" t="str"/>
      <x:c r="F24" t="str"/>
      <x:c r="G24" s="20" t="str">
        <x:f>IF(COUNT(D24:F24)=0,"",AVERAGE(D24:F24))</x:f>
      </x:c>
      <x:c r="H24" t="str"/>
      <x:c r="I24" t="str"/>
      <x:c r="J24" t="str"/>
      <x:c r="K24" t="str"/>
    </x:row>
  </x:sheetData>
  <x:mergeCells>
    <x:mergeCell ref="A1:K1"/>
    <x:mergeCell ref="A2:K2"/>
  </x:mergeCells>
  <x:dataValidations count="1">
    <x:dataValidation type="list" sqref="H5:H24">
      <x:formula1>"Pass,Fail,Retest"</x:formula1>
    </x:dataValidation>
  </x:dataValidations>
  <x:pageMargins left="0.7" right="0.7" top="0.75" bottom="0.75" header="0.3" footer="0.3"/>
  <x:drawing xmlns:r="http://schemas.openxmlformats.org/officeDocument/2006/relationships" r:id="R18c44aea7c3349f9"/>
  <x:tableParts count="1">
    <x:tablePart xmlns:r="http://schemas.openxmlformats.org/officeDocument/2006/relationships" r:id="Rbba1ea3de66846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" t="str">
        <x:v>Test Summary</x:v>
      </x:c>
    </x:row>
    <x:row r="3">
      <x:c r="A3" s="24" t="str">
        <x:v>Total Trials</x:v>
      </x:c>
      <x:c r="B3" t="n">
        <x:f>COUNTA('Test Data'!A5:A24)</x:f>
        <x:v>20</x:v>
      </x:c>
    </x:row>
    <x:row r="4">
      <x:c r="A4" s="24" t="str">
        <x:v>Average Result</x:v>
      </x:c>
      <x:c r="B4" t="e">
        <x:f>AVERAGEIF('Test Data'!G5:G24,"&gt;0")</x:f>
      </x:c>
    </x:row>
    <x:row r="5">
      <x:c r="A5" s="24" t="str">
        <x:v>Pass Count</x:v>
      </x:c>
      <x:c r="B5" t="n">
        <x:f>COUNTIF('Test Data'!H5:H24,"Pass")</x:f>
        <x:v>0</x:v>
      </x:c>
    </x:row>
    <x:row r="6">
      <x:c r="A6" s="24" t="str">
        <x:v>Fail Count</x:v>
      </x:c>
      <x:c r="B6" t="n">
        <x:f>COUNTIF('Test Data'!H5:H24,"Fail")</x:f>
        <x:v>0</x:v>
      </x:c>
    </x:row>
    <x:row r="7">
      <x:c r="A7" s="24" t="str">
        <x:v>Retest Count</x:v>
      </x:c>
      <x:c r="B7" t="n">
        <x:f>COUNTIF('Test Data'!H5:H24,"Retest")</x:f>
        <x:v>0</x:v>
      </x:c>
    </x:row>
    <x:row r="8">
      <x:c r="A8" s="24" t="str">
        <x:v>Latest Revision Note</x:v>
      </x:c>
      <x:c r="B8" t="e">
        <x:f>LOOKUP(2,1/('Test Data'!K5:K24&lt;&gt;""),'Test Data'!K5:K24)</x:f>
      </x:c>
    </x:row>
  </x:sheetData>
  <x:mergeCells>
    <x:mergeCell ref="A1:E1"/>
  </x:mergeCells>
  <x:pageMargins left="0.7" right="0.7" top="0.75" bottom="0.75" header="0.3" footer="0.3"/>
</x:worksheet>
</file>